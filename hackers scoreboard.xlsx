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showInkAnnotation="0" defaultThemeVersion="202300"/>
  <xr:revisionPtr revIDLastSave="0" documentId="13_ncr:1000001_{2F60A2A1-D7F9-754C-99D1-665FF5CB57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O4" i="1"/>
  <c r="M7" i="1"/>
  <c r="O7" i="1"/>
  <c r="M9" i="1"/>
  <c r="O9" i="1"/>
  <c r="M5" i="1"/>
  <c r="O5" i="1"/>
  <c r="M12" i="1"/>
  <c r="O12" i="1"/>
  <c r="M11" i="1"/>
  <c r="O11" i="1"/>
  <c r="M6" i="1"/>
  <c r="O6" i="1"/>
  <c r="M8" i="1"/>
  <c r="O8" i="1"/>
  <c r="M13" i="1"/>
  <c r="O13" i="1"/>
  <c r="M14" i="1"/>
  <c r="O14" i="1"/>
  <c r="M10" i="1"/>
  <c r="O10" i="1"/>
  <c r="M3" i="1"/>
  <c r="O3" i="1"/>
</calcChain>
</file>

<file path=xl/sharedStrings.xml><?xml version="1.0" encoding="utf-8"?>
<sst xmlns="http://schemas.openxmlformats.org/spreadsheetml/2006/main" count="27" uniqueCount="33">
  <si>
    <t>Hacker</t>
  </si>
  <si>
    <t>Web</t>
  </si>
  <si>
    <t>Reverse</t>
  </si>
  <si>
    <t>Malware</t>
  </si>
  <si>
    <t>Stego</t>
  </si>
  <si>
    <t>Osint</t>
  </si>
  <si>
    <t>Misc</t>
  </si>
  <si>
    <t>Crypto</t>
  </si>
  <si>
    <t>Forensics</t>
  </si>
  <si>
    <t>Toplam</t>
  </si>
  <si>
    <t>Firstblood</t>
  </si>
  <si>
    <t>Mobil</t>
  </si>
  <si>
    <t>Sıra</t>
  </si>
  <si>
    <t>Pwn</t>
  </si>
  <si>
    <t>Puan</t>
  </si>
  <si>
    <t>Selman Farisi Cüzdan</t>
  </si>
  <si>
    <t>Eray Fazlıoğlu</t>
  </si>
  <si>
    <t>M.Hamza Aşçi</t>
  </si>
  <si>
    <t>Berat Aytuğ</t>
  </si>
  <si>
    <t>Murat Kabakçıoğlu</t>
  </si>
  <si>
    <t>T.Yiğit Atmaca</t>
  </si>
  <si>
    <t>Muhammed Arif İpek</t>
  </si>
  <si>
    <t>Emir Rüya</t>
  </si>
  <si>
    <t>M.Emin Karkın</t>
  </si>
  <si>
    <t>Berk Çetinkaya</t>
  </si>
  <si>
    <t>Devran İritaş</t>
  </si>
  <si>
    <t>Eymen Ensar 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</si>
</sst>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6719-0A62-1343-B876-55FAB151758A}">
  <dimension ref="A2:O14"/>
  <sheetViews>
    <sheetView tabSelected="1" zoomScaleNormal="60" zoomScaleSheetLayoutView="100" workbookViewId="0">
      <selection activeCell="B14" sqref="B14"/>
    </sheetView>
  </sheetViews>
  <sheetFormatPr defaultRowHeight="15" x14ac:dyDescent="0.2"/>
  <cols>
    <col min="2" max="2" width="12.10546875" customWidth="1"/>
    <col min="3" max="3" width="4.4375" style="3" customWidth="1"/>
    <col min="4" max="4" width="7.12890625" style="3" customWidth="1"/>
    <col min="5" max="5" width="4.83984375" style="3" customWidth="1"/>
    <col min="6" max="6" width="7.3984375" style="3" customWidth="1"/>
    <col min="7" max="7" width="5.37890625" style="3" customWidth="1"/>
    <col min="8" max="8" width="4.70703125" style="3" customWidth="1"/>
    <col min="9" max="9" width="4.4375" style="3" customWidth="1"/>
    <col min="10" max="10" width="6.45703125" style="3" customWidth="1"/>
    <col min="11" max="13" width="8.609375" style="3"/>
    <col min="14" max="14" width="9.4140625" style="3" customWidth="1"/>
  </cols>
  <sheetData>
    <row r="2" spans="1:15" x14ac:dyDescent="0.2">
      <c r="A2" s="4" t="s">
        <v>12</v>
      </c>
      <c r="B2" s="5" t="s">
        <v>0</v>
      </c>
      <c r="C2" s="4" t="s">
        <v>1</v>
      </c>
      <c r="D2" s="4" t="s">
        <v>2</v>
      </c>
      <c r="E2" s="4" t="s">
        <v>13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11</v>
      </c>
      <c r="M2" s="4" t="s">
        <v>9</v>
      </c>
      <c r="N2" s="9" t="s">
        <v>10</v>
      </c>
      <c r="O2" s="1" t="s">
        <v>14</v>
      </c>
    </row>
    <row r="3" spans="1:15" x14ac:dyDescent="0.2">
      <c r="A3" s="6">
        <v>1</v>
      </c>
      <c r="B3" s="7" t="s">
        <v>15</v>
      </c>
      <c r="C3" s="2">
        <v>4</v>
      </c>
      <c r="D3" s="2">
        <v>6</v>
      </c>
      <c r="E3" s="2">
        <v>1</v>
      </c>
      <c r="F3" s="2">
        <v>2</v>
      </c>
      <c r="G3" s="2">
        <v>2</v>
      </c>
      <c r="H3" s="2">
        <v>3</v>
      </c>
      <c r="I3" s="2">
        <v>2</v>
      </c>
      <c r="J3" s="2">
        <v>5</v>
      </c>
      <c r="K3" s="2">
        <v>3</v>
      </c>
      <c r="L3" s="2">
        <v>1</v>
      </c>
      <c r="M3" s="12">
        <f>SUM(C3:L3)</f>
        <v>29</v>
      </c>
      <c r="N3" s="11">
        <v>15</v>
      </c>
      <c r="O3" s="10">
        <f>M3*100+N3*25</f>
        <v>3275</v>
      </c>
    </row>
    <row r="4" spans="1:15" x14ac:dyDescent="0.2">
      <c r="A4" s="6">
        <v>2</v>
      </c>
      <c r="B4" s="7" t="s">
        <v>16</v>
      </c>
      <c r="C4" s="2">
        <v>3</v>
      </c>
      <c r="D4" s="2">
        <v>5</v>
      </c>
      <c r="E4" s="2"/>
      <c r="F4" s="2">
        <v>1</v>
      </c>
      <c r="G4" s="2">
        <v>1</v>
      </c>
      <c r="H4" s="2">
        <v>3</v>
      </c>
      <c r="I4" s="2">
        <v>3</v>
      </c>
      <c r="J4" s="2">
        <v>4</v>
      </c>
      <c r="K4" s="2">
        <v>3</v>
      </c>
      <c r="L4" s="2">
        <v>1</v>
      </c>
      <c r="M4" s="12">
        <f>SUM(C4:L4)</f>
        <v>24</v>
      </c>
      <c r="N4" s="11">
        <v>3</v>
      </c>
      <c r="O4" s="10">
        <f>M4*100+N4*25</f>
        <v>2475</v>
      </c>
    </row>
    <row r="5" spans="1:15" x14ac:dyDescent="0.2">
      <c r="A5" s="6">
        <v>3</v>
      </c>
      <c r="B5" s="7" t="s">
        <v>17</v>
      </c>
      <c r="C5" s="2">
        <v>2</v>
      </c>
      <c r="D5" s="2">
        <v>3</v>
      </c>
      <c r="E5" s="2">
        <v>1</v>
      </c>
      <c r="F5" s="2">
        <v>1</v>
      </c>
      <c r="G5" s="2">
        <v>1</v>
      </c>
      <c r="H5" s="2">
        <v>1</v>
      </c>
      <c r="I5" s="2">
        <v>2</v>
      </c>
      <c r="J5" s="2">
        <v>4</v>
      </c>
      <c r="K5" s="2"/>
      <c r="L5" s="2">
        <v>1</v>
      </c>
      <c r="M5" s="12">
        <f>SUM(C5:L5)</f>
        <v>16</v>
      </c>
      <c r="N5" s="11">
        <v>3</v>
      </c>
      <c r="O5" s="10">
        <f>M5*100+N5*25</f>
        <v>1675</v>
      </c>
    </row>
    <row r="6" spans="1:15" x14ac:dyDescent="0.2">
      <c r="A6" s="13">
        <v>4</v>
      </c>
      <c r="B6" s="7" t="s">
        <v>18</v>
      </c>
      <c r="C6" s="2">
        <v>1</v>
      </c>
      <c r="D6" s="2">
        <v>3</v>
      </c>
      <c r="E6" s="2">
        <v>1</v>
      </c>
      <c r="F6" s="2"/>
      <c r="G6" s="2">
        <v>1</v>
      </c>
      <c r="H6" s="2">
        <v>1</v>
      </c>
      <c r="I6" s="2">
        <v>1</v>
      </c>
      <c r="J6" s="2">
        <v>5</v>
      </c>
      <c r="K6" s="2">
        <v>1</v>
      </c>
      <c r="L6" s="2">
        <v>1</v>
      </c>
      <c r="M6" s="12">
        <f>SUM(C6:L6)</f>
        <v>15</v>
      </c>
      <c r="N6" s="11">
        <v>4</v>
      </c>
      <c r="O6" s="10">
        <f>M6*100+N6*25</f>
        <v>1600</v>
      </c>
    </row>
    <row r="7" spans="1:15" x14ac:dyDescent="0.2">
      <c r="A7" s="13">
        <v>5</v>
      </c>
      <c r="B7" s="7" t="s">
        <v>19</v>
      </c>
      <c r="C7" s="2">
        <v>2</v>
      </c>
      <c r="D7" s="2">
        <v>3</v>
      </c>
      <c r="E7" s="2"/>
      <c r="F7" s="2"/>
      <c r="G7" s="2">
        <v>1</v>
      </c>
      <c r="H7" s="2">
        <v>1</v>
      </c>
      <c r="I7" s="2">
        <v>1</v>
      </c>
      <c r="J7" s="2">
        <v>3</v>
      </c>
      <c r="K7" s="2">
        <v>1</v>
      </c>
      <c r="L7" s="2">
        <v>1</v>
      </c>
      <c r="M7" s="12">
        <f>SUM(C7:L7)</f>
        <v>13</v>
      </c>
      <c r="N7" s="11">
        <v>1</v>
      </c>
      <c r="O7" s="10">
        <f>M7*100+N7*25</f>
        <v>1325</v>
      </c>
    </row>
    <row r="8" spans="1:15" x14ac:dyDescent="0.2">
      <c r="A8" s="13">
        <v>6</v>
      </c>
      <c r="B8" s="7" t="s">
        <v>20</v>
      </c>
      <c r="C8" s="2"/>
      <c r="D8" s="2">
        <v>3</v>
      </c>
      <c r="E8" s="2">
        <v>1</v>
      </c>
      <c r="F8" s="2"/>
      <c r="G8" s="2">
        <v>1</v>
      </c>
      <c r="H8" s="2">
        <v>3</v>
      </c>
      <c r="I8" s="2"/>
      <c r="J8" s="2">
        <v>3</v>
      </c>
      <c r="K8" s="2">
        <v>2</v>
      </c>
      <c r="L8" s="2"/>
      <c r="M8" s="12">
        <f>SUM(C8:L8)</f>
        <v>13</v>
      </c>
      <c r="N8" s="11">
        <v>1</v>
      </c>
      <c r="O8" s="10">
        <f>M8*100+N8*25</f>
        <v>1325</v>
      </c>
    </row>
    <row r="9" spans="1:15" x14ac:dyDescent="0.2">
      <c r="A9" s="8">
        <v>7</v>
      </c>
      <c r="B9" s="7" t="s">
        <v>21</v>
      </c>
      <c r="C9" s="2"/>
      <c r="D9" s="2">
        <v>4</v>
      </c>
      <c r="E9" s="2"/>
      <c r="F9" s="2"/>
      <c r="G9" s="2">
        <v>1</v>
      </c>
      <c r="H9" s="2">
        <v>1</v>
      </c>
      <c r="I9" s="2">
        <v>2</v>
      </c>
      <c r="J9" s="2">
        <v>2</v>
      </c>
      <c r="K9" s="2">
        <v>1</v>
      </c>
      <c r="L9" s="2"/>
      <c r="M9" s="12">
        <f>SUM(C9:L9)</f>
        <v>11</v>
      </c>
      <c r="N9" s="11">
        <v>2</v>
      </c>
      <c r="O9" s="10">
        <f>M9*100+N9*25</f>
        <v>1150</v>
      </c>
    </row>
    <row r="10" spans="1:15" x14ac:dyDescent="0.2">
      <c r="A10" s="8">
        <v>8</v>
      </c>
      <c r="B10" s="7" t="s">
        <v>22</v>
      </c>
      <c r="C10" s="2"/>
      <c r="D10" s="2">
        <v>3</v>
      </c>
      <c r="E10" s="2">
        <v>1</v>
      </c>
      <c r="F10" s="2">
        <v>1</v>
      </c>
      <c r="G10" s="2">
        <v>1</v>
      </c>
      <c r="H10" s="2">
        <v>2</v>
      </c>
      <c r="I10" s="2"/>
      <c r="J10" s="2">
        <v>1</v>
      </c>
      <c r="K10" s="2">
        <v>2</v>
      </c>
      <c r="L10" s="2"/>
      <c r="M10" s="12">
        <f>SUM(C10:L10)</f>
        <v>11</v>
      </c>
      <c r="N10" s="11">
        <v>1</v>
      </c>
      <c r="O10" s="10">
        <f>M10*100+N10*25</f>
        <v>1125</v>
      </c>
    </row>
    <row r="11" spans="1:15" x14ac:dyDescent="0.2">
      <c r="A11" s="8">
        <v>9</v>
      </c>
      <c r="B11" s="7" t="s">
        <v>23</v>
      </c>
      <c r="C11" s="2">
        <v>3</v>
      </c>
      <c r="D11" s="2">
        <v>3</v>
      </c>
      <c r="E11" s="2"/>
      <c r="F11" s="2"/>
      <c r="G11" s="2">
        <v>1</v>
      </c>
      <c r="H11" s="2"/>
      <c r="I11" s="2">
        <v>1</v>
      </c>
      <c r="J11" s="2">
        <v>2</v>
      </c>
      <c r="K11" s="2">
        <v>1</v>
      </c>
      <c r="L11" s="2"/>
      <c r="M11" s="12">
        <f>SUM(C11:L11)</f>
        <v>11</v>
      </c>
      <c r="N11" s="11">
        <v>1</v>
      </c>
      <c r="O11" s="10">
        <f>M11*100+N11*25</f>
        <v>1125</v>
      </c>
    </row>
    <row r="12" spans="1:15" x14ac:dyDescent="0.2">
      <c r="A12" s="8">
        <v>10</v>
      </c>
      <c r="B12" s="7" t="s">
        <v>24</v>
      </c>
      <c r="C12" s="2">
        <v>1</v>
      </c>
      <c r="D12" s="2">
        <v>1</v>
      </c>
      <c r="E12" s="2"/>
      <c r="F12" s="2"/>
      <c r="G12" s="2"/>
      <c r="H12" s="2">
        <v>1</v>
      </c>
      <c r="I12" s="2">
        <v>2</v>
      </c>
      <c r="J12" s="2">
        <v>3</v>
      </c>
      <c r="K12" s="2"/>
      <c r="L12" s="2">
        <v>1</v>
      </c>
      <c r="M12" s="12">
        <f>SUM(C12:L12)</f>
        <v>9</v>
      </c>
      <c r="N12" s="11"/>
      <c r="O12" s="10">
        <f>M12*100+N12*25</f>
        <v>900</v>
      </c>
    </row>
    <row r="13" spans="1:15" x14ac:dyDescent="0.2">
      <c r="A13" s="8">
        <v>11</v>
      </c>
      <c r="B13" s="7" t="s">
        <v>25</v>
      </c>
      <c r="C13" s="2"/>
      <c r="D13" s="2">
        <v>1</v>
      </c>
      <c r="E13" s="2"/>
      <c r="F13" s="2"/>
      <c r="G13" s="2">
        <v>1</v>
      </c>
      <c r="H13" s="2">
        <v>1</v>
      </c>
      <c r="I13" s="2"/>
      <c r="J13" s="2">
        <v>1</v>
      </c>
      <c r="K13" s="2"/>
      <c r="L13" s="2"/>
      <c r="M13" s="12">
        <f>SUM(C13:L13)</f>
        <v>4</v>
      </c>
      <c r="N13" s="11"/>
      <c r="O13" s="10">
        <f>M13*100+N13*25</f>
        <v>400</v>
      </c>
    </row>
    <row r="14" spans="1:15" x14ac:dyDescent="0.2">
      <c r="A14" s="8">
        <v>12</v>
      </c>
      <c r="B14" s="7" t="s">
        <v>26</v>
      </c>
      <c r="C14" s="2"/>
      <c r="D14" s="2"/>
      <c r="E14" s="2"/>
      <c r="F14" s="2"/>
      <c r="G14" s="2"/>
      <c r="H14" s="2">
        <v>1</v>
      </c>
      <c r="I14" s="2"/>
      <c r="J14" s="2">
        <v>2</v>
      </c>
      <c r="K14" s="2"/>
      <c r="L14" s="2"/>
      <c r="M14" s="12">
        <f>SUM(C14:L14)</f>
        <v>3</v>
      </c>
      <c r="N14" s="11"/>
      <c r="O14" s="10">
        <f>M14*100+N14*25</f>
        <v>300</v>
      </c>
    </row>
  </sheetData>
  <sortState xmlns:xlrd2="http://schemas.microsoft.com/office/spreadsheetml/2017/richdata2" ref="A3:O14">
    <sortCondition descending="1" ref="O3:O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Ctf Cantasi</dc:creator>
  <dcterms:created xsi:type="dcterms:W3CDTF">2025-10-09T14:31:04Z</dcterms:created>
</cp:coreProperties>
</file>